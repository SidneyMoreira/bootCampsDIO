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ojetos\DIO\Santader_Excel_com_IA\CriandoDashboardVendasXbosComExcel\"/>
    </mc:Choice>
  </mc:AlternateContent>
  <xr:revisionPtr revIDLastSave="0" documentId="13_ncr:1_{1F0B23BB-16A3-4825-8694-5B8EB6E64418}" xr6:coauthVersionLast="47" xr6:coauthVersionMax="47" xr10:uidLastSave="{00000000-0000-0000-0000-000000000000}"/>
  <bookViews>
    <workbookView xWindow="28680" yWindow="-120" windowWidth="38640" windowHeight="164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E22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<sst xmlns="http://schemas.openxmlformats.org/spreadsheetml/2006/main" count="2022" uniqueCount="325">
  <si>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</si>
  <si>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</si>
  <si>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</si>
  <si>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</si>
  <si>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</si>
  <si>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</si>
  <si>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</si>
  <si>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</si>
  <si>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</si>
  <si>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</si>
  <si>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</si>
  <si>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</si>
  <si>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</si>
  <si>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</si>
  <si>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</si>
  <si>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</si>
  <si>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</si>
  <si>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</si>
  <si>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</si>
  <si>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</si>
  <si>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</si>
  <si>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</si>
  <si>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</si>
  <si>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</si>
  <si>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</si>
  <si>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</si>
  <si>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</si>
  <si>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</si>
  <si>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</si>
  <si>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</si>
  <si>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</si>
  <si>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</si>
  <si>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</si>
  <si>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</si>
  <si>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</si>
  <si>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</si>
  <si>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</si>
  <si>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</si>
  <si>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</si>
  <si>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</si>
  <si>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</si>
  <si>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</si>
  <si>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</si>
  <si>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</si>
  <si>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</si>
  <si>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</si>
  <si>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</si>
  <si>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</si>
  <si>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</si>
  <si>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</si>
  <si>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</si>
  <si>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</si>
  <si>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</si>
  <si>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</si>
  <si>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</si>
  <si>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</si>
  <si>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</si>
  <si>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</si>
  <si>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</si>
  <si>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</si>
  <si>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</si>
  <si>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</si>
  <si>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</si>
  <si>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</si>
  <si>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</si>
  <si>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</si>
  <si>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</si>
  <si>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</si>
  <si>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</si>
  <si>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</si>
  <si>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</si>
  <si>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</si>
  <si>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</si>
  <si>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</si>
  <si>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</si>
  <si>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</si>
  <si>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</si>
  <si>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</si>
  <si>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</si>
  <si>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</si>
  <si>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</si>
  <si>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</si>
  <si>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</si>
  <si>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</si>
  <si>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</si>
  <si>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</si>
  <si>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</si>
  <si>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</si>
  <si>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</si>
  <si>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</si>
  <si>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</si>
  <si>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</si>
  <si>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</si>
  <si>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</si>
  <si>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</si>
  <si>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</si>
  <si>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</si>
  <si>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</si>
  <si>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</si>
  <si>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</si>
  <si>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</si>
  <si>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</si>
  <si>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</si>
  <si>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</si>
  <si>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</si>
  <si>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</si>
  <si>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</si>
  <si>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</si>
  <si>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</si>
  <si>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</si>
  <si>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</si>
  <si>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</si>
  <si>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</si>
  <si>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</si>
  <si>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</si>
  <si>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</si>
  <si>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</si>
  <si>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</si>
  <si>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</si>
  <si>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</si>
  <si>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</si>
  <si>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</si>
  <si>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</si>
  <si>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</si>
  <si>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</si>
  <si>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</si>
  <si>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</si>
  <si>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</si>
  <si>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</si>
  <si>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</si>
  <si>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</si>
  <si>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</si>
  <si>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</si>
  <si>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</si>
  <si>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</si>
  <si>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</si>
  <si>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</si>
  <si>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</si>
  <si>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</si>
  <si>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</si>
  <si>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</si>
  <si>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</si>
  <si>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</si>
  <si>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</si>
  <si>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</si>
  <si>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</si>
  <si>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</si>
  <si>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</si>
  <si>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</si>
  <si>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</si>
  <si>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</si>
  <si>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</si>
  <si>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</si>
  <si>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</si>
  <si>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</si>
  <si>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</si>
  <si>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</si>
  <si>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</si>
  <si>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</si>
  <si>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</si>
  <si>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</si>
  <si>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</si>
  <si>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</si>
  <si>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</si>
  <si>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</si>
  <si>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</si>
  <si>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</si>
  <si>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</si>
  <si>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</si>
  <si>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</si>
  <si>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</si>
  <si>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</si>
  <si>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</si>
  <si>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</si>
  <si>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</si>
  <si>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</si>
  <si>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</si>
  <si>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</si>
  <si>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</si>
  <si>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</si>
  <si>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</si>
  <si>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</si>
  <si>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</si>
  <si>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</si>
  <si>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</si>
  <si>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</si>
  <si>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</si>
  <si>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</si>
  <si>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</si>
  <si>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</si>
  <si>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</si>
  <si>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</si>
  <si>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</si>
  <si>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</si>
  <si>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</si>
  <si>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</si>
  <si>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</si>
  <si>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</si>
  <si>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</si>
  <si>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</si>
  <si>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</si>
  <si>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</si>
  <si>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</si>
  <si>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</si>
  <si>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</si>
  <si>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</si>
  <si>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</si>
  <si>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</si>
  <si>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</si>
  <si>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</si>
  <si>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</si>
  <si>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</si>
  <si>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</si>
  <si>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</si>
  <si>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</si>
  <si>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</si>
  <si>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</si>
  <si>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</si>
  <si>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</si>
  <si>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</si>
  <si>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</si>
  <si>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</si>
  <si>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</si>
  <si>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</si>
  <si>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</si>
  <si>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</si>
  <si>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</si>
  <si>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</si>
  <si>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</si>
  <si>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</si>
  <si>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</si>
  <si>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</si>
  <si>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</si>
  <si>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</si>
  <si>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</si>
  <si>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</si>
  <si>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</si>
  <si>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</si>
  <si>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</si>
  <si>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</si>
  <si>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</si>
  <si>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</si>
  <si>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</si>
  <si>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</si>
  <si>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</si>
  <si>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</si>
  <si>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</si>
  <si>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</si>
  <si>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</si>
  <si>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</si>
  <si>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</si>
  <si>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</si>
  <si>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</si>
  <si>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</si>
  <si>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</si>
  <si>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</si>
  <si>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</si>
  <si>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</si>
  <si>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</si>
  <si>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</si>
  <si>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</si>
  <si>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</si>
  <si>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</si>
  <si>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</si>
  <si>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</si>
  <si>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</si>
  <si>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</si>
  <si>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</si>
  <si>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</si>
  <si>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</si>
  <si>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</si>
  <si>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</si>
  <si>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</si>
  <si>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</si>
  <si>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</si>
  <si>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</si>
  <si>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</si>
  <si>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</si>
  <si>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</si>
  <si>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</si>
  <si>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</si>
  <si>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</si>
  <si>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</si>
  <si>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</si>
  <si>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</si>
  <si>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</si>
  <si>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</si>
  <si>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</si>
  <si>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</si>
  <si>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</si>
  <si>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</si>
  <si>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</si>
  <si>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</si>
  <si>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</si>
  <si>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</si>
  <si>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</si>
  <si>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</si>
  <si>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</si>
  <si>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</si>
  <si>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</si>
  <si>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</si>
  <si>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</si>
  <si>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</si>
  <si>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</si>
  <si>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</si>
  <si>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</si>
  <si>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</si>
  <si>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</si>
  <si>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</si>
  <si>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</si>
  <si>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</si>
  <si>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</si>
  <si>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</si>
  <si>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</si>
  <si>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</si>
  <si>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</si>
  <si>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1: Qual faturamente </t>
    </r>
    <r>
      <rPr>
        <b/>
        <sz val="11"/>
        <color theme="1"/>
        <rFont val="Aptos Narrow"/>
        <family val="2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 xml:space="preserve"> (contendo todas as assinaturas agregadas)?</t>
    </r>
  </si>
  <si>
    <r>
      <t xml:space="preserve">Pergunta 2: Qual faturamento </t>
    </r>
    <r>
      <rPr>
        <b/>
        <sz val="11"/>
        <color theme="1"/>
        <rFont val="Aptos Narrow"/>
        <family val="2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 xml:space="preserve"> separado por auto-renovação o que não auto-renovação.</t>
    </r>
  </si>
  <si>
    <t>XBOX GAME PASS SUBSCRIPTIONS SALES</t>
  </si>
  <si>
    <t>Pergunta Negocio 3 - Total de vendas de Assinaturas do EA Play</t>
  </si>
  <si>
    <t>Soma de EA Play Season Pass</t>
  </si>
  <si>
    <t>Pergunta Negocio 4 - Total de vendas de Assinaturas do Minecraft Season Pass</t>
  </si>
  <si>
    <t>Soma de Minecraft Season Pass Price</t>
  </si>
  <si>
    <t>(Tudo)</t>
  </si>
  <si>
    <t>Calculation period: 01/01/2024 à 31/12/2024 - Update: 25/12/2024 - 09:00:00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</si>
</sst>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AE6B1"/>
      <name val="Segoe UI"/>
      <family val="2"/>
    </font>
    <font>
      <b/>
      <sz val="10"/>
      <color theme="0" tint="-0.3499862666707357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2" applyFont="1"/>
    <xf numFmtId="0" fontId="4" fillId="0" borderId="2" xfId="1" applyFont="1" applyBorder="1"/>
    <xf numFmtId="0" fontId="0" fillId="0" borderId="2" xfId="0" applyBorder="1"/>
    <xf numFmtId="0" fontId="5" fillId="0" borderId="2" xfId="1" applyFont="1" applyBorder="1" applyAlignment="1">
      <alignment horizontal="left" vertical="center" indent="5"/>
    </xf>
    <xf numFmtId="0" fontId="6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412C2B7E-7E0D-44D0-85F7-F43B83490C3C}">
      <tableStyleElement type="wholeTable" dxfId="15"/>
      <tableStyleElement type="headerRow" dxfId="14"/>
    </tableStyle>
  </tableStyles>
  <colors>
    <mruColors>
      <color rgb="FF5BF6A8"/>
      <color rgb="FF22C55E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[Base_XBox.xlsx]C̳álculos!tbl_annual_total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AE6B1"/>
          </a:solidFill>
          <a:ln>
            <a:noFill/>
          </a:ln>
          <a:effectLst/>
        </c:spPr>
      </c:pivotFmt>
      <c:pivotFmt>
        <c:idx val="8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6E-4D7A-8139-6331A448B4BE}"/>
              </c:ext>
            </c:extLst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6E-4D7A-8139-6331A448B4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6E-4D7A-8139-6331A448B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9042847"/>
        <c:axId val="539028447"/>
      </c:barChart>
      <c:catAx>
        <c:axId val="539042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028447"/>
        <c:crosses val="autoZero"/>
        <c:auto val="1"/>
        <c:lblAlgn val="ctr"/>
        <c:lblOffset val="100"/>
        <c:noMultiLvlLbl val="0"/>
      </c:catAx>
      <c:valAx>
        <c:axId val="53902844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3904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88107</xdr:colOff>
      <xdr:row>0</xdr:row>
      <xdr:rowOff>28575</xdr:rowOff>
    </xdr:from>
    <xdr:to>
      <xdr:col>2</xdr:col>
      <xdr:colOff>433598</xdr:colOff>
      <xdr:row>2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1EED1C-08F4-4D33-AFC6-D8325B3695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3" t="17472" r="72772" b="18467"/>
        <a:stretch>
          <a:fillRect/>
        </a:stretch>
      </xdr:blipFill>
      <xdr:spPr>
        <a:xfrm>
          <a:off x="2078832" y="28575"/>
          <a:ext cx="583616" cy="6572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164307</xdr:rowOff>
    </xdr:from>
    <xdr:to>
      <xdr:col>0</xdr:col>
      <xdr:colOff>1828800</xdr:colOff>
      <xdr:row>13</xdr:row>
      <xdr:rowOff>40482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1D485921-27C3-425E-B3D7-BB96741DA1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49329"/>
              <a:ext cx="182880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55043</xdr:colOff>
      <xdr:row>4</xdr:row>
      <xdr:rowOff>126863</xdr:rowOff>
    </xdr:from>
    <xdr:to>
      <xdr:col>9</xdr:col>
      <xdr:colOff>519387</xdr:colOff>
      <xdr:row>12</xdr:row>
      <xdr:rowOff>114863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3EA8C26-2009-5590-7915-77273DEE3608}"/>
            </a:ext>
          </a:extLst>
        </xdr:cNvPr>
        <xdr:cNvGrpSpPr/>
      </xdr:nvGrpSpPr>
      <xdr:grpSpPr>
        <a:xfrm>
          <a:off x="2150543" y="1020242"/>
          <a:ext cx="4740741" cy="1512000"/>
          <a:chOff x="2152741" y="810540"/>
          <a:chExt cx="4724950" cy="151200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F7050E1-D6D1-8592-B8D7-78976B41F33B}"/>
              </a:ext>
            </a:extLst>
          </xdr:cNvPr>
          <xdr:cNvSpPr/>
        </xdr:nvSpPr>
        <xdr:spPr>
          <a:xfrm>
            <a:off x="2152741" y="810540"/>
            <a:ext cx="4724950" cy="1512000"/>
          </a:xfrm>
          <a:prstGeom prst="roundRect">
            <a:avLst>
              <a:gd name="adj" fmla="val 643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6178AAED-931E-0B41-5EA9-ADBC6DCBF8B4}"/>
              </a:ext>
            </a:extLst>
          </xdr:cNvPr>
          <xdr:cNvGrpSpPr/>
        </xdr:nvGrpSpPr>
        <xdr:grpSpPr>
          <a:xfrm>
            <a:off x="2452230" y="1361569"/>
            <a:ext cx="4125973" cy="776289"/>
            <a:chOff x="2393157" y="1212055"/>
            <a:chExt cx="4119562" cy="776289"/>
          </a:xfrm>
        </xdr:grpSpPr>
        <xdr:sp macro="" textlink="C̳álculos!E22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6C9DAC73-0AC7-AC9F-8EE0-F889C5B6A300}"/>
                </a:ext>
              </a:extLst>
            </xdr:cNvPr>
            <xdr:cNvSpPr/>
          </xdr:nvSpPr>
          <xdr:spPr>
            <a:xfrm>
              <a:off x="3724275" y="1212055"/>
              <a:ext cx="2788444" cy="776289"/>
            </a:xfrm>
            <a:prstGeom prst="roundRect">
              <a:avLst>
                <a:gd name="adj" fmla="val 6430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7EB15D3-0EF9-40AA-8FAD-4A9221F97EF1}" type="TxLink">
                <a:rPr lang="en-US" sz="3600" b="0" i="0" u="none" strike="noStrike">
                  <a:solidFill>
                    <a:srgbClr val="2AE6B1"/>
                  </a:solidFill>
                  <a:latin typeface="Aptos Narrow"/>
                </a:rPr>
                <a:pPr algn="ctr"/>
                <a:t> R$ 2.940,00 </a:t>
              </a:fld>
              <a:endParaRPr lang="pt-BR" sz="3600">
                <a:solidFill>
                  <a:srgbClr val="2AE6B1"/>
                </a:solidFill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0DCD421C-342A-4187-9782-322544DC8F6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21484" b="25781"/>
            <a:stretch>
              <a:fillRect/>
            </a:stretch>
          </xdr:blipFill>
          <xdr:spPr>
            <a:xfrm>
              <a:off x="2393157" y="1278730"/>
              <a:ext cx="1219200" cy="642938"/>
            </a:xfrm>
            <a:prstGeom prst="rect">
              <a:avLst/>
            </a:prstGeom>
          </xdr:spPr>
        </xdr:pic>
      </xdr:grp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0900BCFD-77AC-FE2D-EFF5-7F4F71A369DF}"/>
              </a:ext>
            </a:extLst>
          </xdr:cNvPr>
          <xdr:cNvSpPr/>
        </xdr:nvSpPr>
        <xdr:spPr>
          <a:xfrm>
            <a:off x="2152741" y="810540"/>
            <a:ext cx="4724950" cy="468000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SUBSCRPTION EA PLAY SEASON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10</xdr:col>
      <xdr:colOff>26468</xdr:colOff>
      <xdr:row>4</xdr:row>
      <xdr:rowOff>126863</xdr:rowOff>
    </xdr:from>
    <xdr:to>
      <xdr:col>18</xdr:col>
      <xdr:colOff>123825</xdr:colOff>
      <xdr:row>12</xdr:row>
      <xdr:rowOff>114863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6B3D1034-3DE5-C546-DD2F-3645710790A5}"/>
            </a:ext>
          </a:extLst>
        </xdr:cNvPr>
        <xdr:cNvGrpSpPr/>
      </xdr:nvGrpSpPr>
      <xdr:grpSpPr>
        <a:xfrm>
          <a:off x="7009278" y="1020242"/>
          <a:ext cx="4735047" cy="1512000"/>
          <a:chOff x="6998768" y="812005"/>
          <a:chExt cx="4731544" cy="1512000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722388A5-E465-622F-8ACC-7A8E71254453}"/>
              </a:ext>
            </a:extLst>
          </xdr:cNvPr>
          <xdr:cNvSpPr/>
        </xdr:nvSpPr>
        <xdr:spPr>
          <a:xfrm>
            <a:off x="6998768" y="812005"/>
            <a:ext cx="4731544" cy="1512000"/>
          </a:xfrm>
          <a:prstGeom prst="roundRect">
            <a:avLst>
              <a:gd name="adj" fmla="val 643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DF926845-E9B3-4D6C-A5C1-F24DBB090B69}"/>
              </a:ext>
            </a:extLst>
          </xdr:cNvPr>
          <xdr:cNvSpPr/>
        </xdr:nvSpPr>
        <xdr:spPr>
          <a:xfrm>
            <a:off x="6998768" y="812005"/>
            <a:ext cx="4731544" cy="468000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SUBSCRPTION MINECRAFT SEASON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10940480-EE00-C9BB-BF93-70B9D69899B9}"/>
              </a:ext>
            </a:extLst>
          </xdr:cNvPr>
          <xdr:cNvGrpSpPr/>
        </xdr:nvGrpSpPr>
        <xdr:grpSpPr>
          <a:xfrm>
            <a:off x="7286625" y="1363034"/>
            <a:ext cx="4143781" cy="776289"/>
            <a:chOff x="7286625" y="1363034"/>
            <a:chExt cx="4143781" cy="776289"/>
          </a:xfrm>
        </xdr:grpSpPr>
        <xdr:sp macro="" textlink="C̳álculos!E35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735A2B3B-C2EF-6D46-FD65-5D1DF363CC94}"/>
                </a:ext>
              </a:extLst>
            </xdr:cNvPr>
            <xdr:cNvSpPr/>
          </xdr:nvSpPr>
          <xdr:spPr>
            <a:xfrm>
              <a:off x="8633725" y="1363034"/>
              <a:ext cx="2796681" cy="776289"/>
            </a:xfrm>
            <a:prstGeom prst="roundRect">
              <a:avLst>
                <a:gd name="adj" fmla="val 6430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E4A45BE7-A419-46B9-B5CF-929A673F8118}" type="TxLink">
                <a:rPr lang="en-US" sz="3600" b="0" i="0" u="none" strike="noStrike">
                  <a:solidFill>
                    <a:srgbClr val="2AE6B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 R$ 3.880,00 </a:t>
              </a:fld>
              <a:endParaRPr lang="pt-BR" sz="3600" b="0" i="0" u="none" strike="noStrike">
                <a:solidFill>
                  <a:srgbClr val="2AE6B1"/>
                </a:solidFill>
                <a:latin typeface="Aptos Narrow"/>
                <a:ea typeface="+mn-ea"/>
                <a:cs typeface="+mn-cs"/>
              </a:endParaRPr>
            </a:p>
          </xdr:txBody>
        </xdr:sp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360F9D49-5AE9-4F03-9F35-E73767BE657C}"/>
                </a:ext>
              </a:extLst>
            </xdr:cNvPr>
            <xdr:cNvGrpSpPr/>
          </xdr:nvGrpSpPr>
          <xdr:grpSpPr>
            <a:xfrm>
              <a:off x="7286625" y="1427328"/>
              <a:ext cx="1266825" cy="647700"/>
              <a:chOff x="3495675" y="5400674"/>
              <a:chExt cx="1549476" cy="752476"/>
            </a:xfrm>
          </xdr:grpSpPr>
          <xdr:pic>
            <xdr:nvPicPr>
              <xdr:cNvPr id="20" name="Imagem 19">
                <a:extLst>
                  <a:ext uri="{FF2B5EF4-FFF2-40B4-BE49-F238E27FC236}">
                    <a16:creationId xmlns:a16="http://schemas.microsoft.com/office/drawing/2014/main" id="{96365CCF-2551-6801-84E2-B6A2549DF9C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1" name="Gráfico 20">
                <a:extLst>
                  <a:ext uri="{FF2B5EF4-FFF2-40B4-BE49-F238E27FC236}">
                    <a16:creationId xmlns:a16="http://schemas.microsoft.com/office/drawing/2014/main" id="{8E3E7B31-2D43-C121-8C86-D70A30E7D50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 editAs="absolute">
    <xdr:from>
      <xdr:col>2</xdr:col>
      <xdr:colOff>45517</xdr:colOff>
      <xdr:row>13</xdr:row>
      <xdr:rowOff>117338</xdr:rowOff>
    </xdr:from>
    <xdr:to>
      <xdr:col>18</xdr:col>
      <xdr:colOff>123825</xdr:colOff>
      <xdr:row>31</xdr:row>
      <xdr:rowOff>76857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07E01F62-F6BA-73AF-8416-C64C72B62A1D}"/>
            </a:ext>
          </a:extLst>
        </xdr:cNvPr>
        <xdr:cNvGrpSpPr/>
      </xdr:nvGrpSpPr>
      <xdr:grpSpPr>
        <a:xfrm>
          <a:off x="2141017" y="2725217"/>
          <a:ext cx="9603308" cy="3388519"/>
          <a:chOff x="2141017" y="2516980"/>
          <a:chExt cx="9622357" cy="3388519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AA35C844-7DB9-B856-844D-29847B93E83D}"/>
              </a:ext>
            </a:extLst>
          </xdr:cNvPr>
          <xdr:cNvGrpSpPr/>
        </xdr:nvGrpSpPr>
        <xdr:grpSpPr>
          <a:xfrm>
            <a:off x="2145505" y="2533650"/>
            <a:ext cx="9598820" cy="3371849"/>
            <a:chOff x="2172083" y="851570"/>
            <a:chExt cx="4702969" cy="2976562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1E2006C9-24DE-037D-36F5-BF5EA835771F}"/>
                </a:ext>
              </a:extLst>
            </xdr:cNvPr>
            <xdr:cNvSpPr/>
          </xdr:nvSpPr>
          <xdr:spPr>
            <a:xfrm>
              <a:off x="2172083" y="851570"/>
              <a:ext cx="4702969" cy="2976562"/>
            </a:xfrm>
            <a:prstGeom prst="roundRect">
              <a:avLst>
                <a:gd name="adj" fmla="val 6667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AE045B7-753B-4F94-8511-482A5C60C9CD}"/>
                </a:ext>
              </a:extLst>
            </xdr:cNvPr>
            <xdr:cNvGraphicFramePr>
              <a:graphicFrameLocks/>
            </xdr:cNvGraphicFramePr>
          </xdr:nvGraphicFramePr>
          <xdr:xfrm>
            <a:off x="2286383" y="1027817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7ADDC485-30B1-46C0-9BCD-1BE8B236DDB8}"/>
              </a:ext>
            </a:extLst>
          </xdr:cNvPr>
          <xdr:cNvSpPr/>
        </xdr:nvSpPr>
        <xdr:spPr>
          <a:xfrm>
            <a:off x="2141017" y="2516980"/>
            <a:ext cx="9622357" cy="468000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SUBSCRPTION XBOX GAME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590550</xdr:colOff>
      <xdr:row>0</xdr:row>
      <xdr:rowOff>123824</xdr:rowOff>
    </xdr:from>
    <xdr:to>
      <xdr:col>0</xdr:col>
      <xdr:colOff>1238250</xdr:colOff>
      <xdr:row>3</xdr:row>
      <xdr:rowOff>66974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4D4F8C6E-E720-4600-B338-EF05FFDBEA33}"/>
            </a:ext>
          </a:extLst>
        </xdr:cNvPr>
        <xdr:cNvSpPr/>
      </xdr:nvSpPr>
      <xdr:spPr>
        <a:xfrm>
          <a:off x="590550" y="123824"/>
          <a:ext cx="647700" cy="6480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3</xdr:row>
      <xdr:rowOff>161925</xdr:rowOff>
    </xdr:from>
    <xdr:to>
      <xdr:col>0</xdr:col>
      <xdr:colOff>1790701</xdr:colOff>
      <xdr:row>5</xdr:row>
      <xdr:rowOff>76200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2310C563-C5D4-F4D2-2B96-4EDE41C2F10F}"/>
            </a:ext>
          </a:extLst>
        </xdr:cNvPr>
        <xdr:cNvSpPr/>
      </xdr:nvSpPr>
      <xdr:spPr>
        <a:xfrm>
          <a:off x="0" y="866775"/>
          <a:ext cx="1790701" cy="29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&gt; bem-vinda,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Mahailah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1.595404513886" createdVersion="8" refreshedVersion="8" minRefreshableVersion="3" recordCount="295" xr:uid="{DED2486D-B8AB-47E6-AD6F-F8CB5098E62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245051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44E16-579C-47E8-B2AB-BDFFE613039B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9:C2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95C71-FC33-4566-9209-38A7E5BD50F9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9:C12" firstHeaderRow="1" firstDataRow="1" firstDataCol="1" rowPageCount="1" colPageCount="1"/>
  <pivotFields count="13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1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C922F-8A01-4B6F-9B87-5759BA027FF2}" name="tbl_minecraft_season_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D7D8225-C401-41AC-9505-6FB03894D72E}" sourceName="Subscription Type">
  <pivotTables>
    <pivotTable tabId="3" name="tbl_annual_total"/>
    <pivotTable tabId="3" name="tbl_easeasonpass_total"/>
    <pivotTable tabId="3" name="tbl_minecraft_season_pass"/>
  </pivotTables>
  <data>
    <tabular pivotCacheId="1724505119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88579CB-FBD0-4570-A3E2-BF35FB1B2FCA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59" zoomScale="90" zoomScaleNormal="90" workbookViewId="0">
      <selection activeCell="B7" sqref="B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6"/>
  <sheetViews>
    <sheetView showGridLines="0" workbookViewId="0">
      <selection activeCell="B7" sqref="B7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316</v>
      </c>
    </row>
    <row r="4" spans="2:3" x14ac:dyDescent="0.25">
      <c r="B4" t="s">
        <v>317</v>
      </c>
    </row>
    <row r="7" spans="2:3" x14ac:dyDescent="0.25">
      <c r="B7" s="12" t="s">
        <v>16</v>
      </c>
      <c r="C7" t="s">
        <v>323</v>
      </c>
    </row>
    <row r="9" spans="2:3" x14ac:dyDescent="0.25">
      <c r="B9" s="12" t="s">
        <v>313</v>
      </c>
      <c r="C9" t="s">
        <v>315</v>
      </c>
    </row>
    <row r="10" spans="2:3" x14ac:dyDescent="0.25">
      <c r="B10" s="13" t="s">
        <v>23</v>
      </c>
      <c r="C10" s="14">
        <v>3847</v>
      </c>
    </row>
    <row r="11" spans="2:3" x14ac:dyDescent="0.25">
      <c r="B11" s="13" t="s">
        <v>19</v>
      </c>
      <c r="C11" s="14">
        <v>3786</v>
      </c>
    </row>
    <row r="12" spans="2:3" x14ac:dyDescent="0.25">
      <c r="B12" s="13" t="s">
        <v>314</v>
      </c>
      <c r="C12" s="14">
        <v>7633</v>
      </c>
    </row>
    <row r="15" spans="2:3" x14ac:dyDescent="0.25">
      <c r="B15" s="13" t="s">
        <v>319</v>
      </c>
    </row>
    <row r="17" spans="2:5" x14ac:dyDescent="0.25">
      <c r="B17" s="12" t="s">
        <v>16</v>
      </c>
      <c r="C17" t="s">
        <v>323</v>
      </c>
    </row>
    <row r="19" spans="2:5" x14ac:dyDescent="0.25">
      <c r="B19" s="12" t="s">
        <v>313</v>
      </c>
      <c r="C19" t="s">
        <v>320</v>
      </c>
    </row>
    <row r="20" spans="2:5" x14ac:dyDescent="0.25">
      <c r="B20" s="13" t="s">
        <v>22</v>
      </c>
      <c r="C20" s="14">
        <v>0</v>
      </c>
    </row>
    <row r="21" spans="2:5" x14ac:dyDescent="0.25">
      <c r="B21" s="13" t="s">
        <v>26</v>
      </c>
      <c r="C21" s="14">
        <v>0</v>
      </c>
    </row>
    <row r="22" spans="2:5" x14ac:dyDescent="0.25">
      <c r="B22" s="13" t="s">
        <v>18</v>
      </c>
      <c r="C22" s="14">
        <v>2940</v>
      </c>
      <c r="E22" s="15">
        <f>GETPIVOTDATA("EA Play Season Pass
Price",$B$19)</f>
        <v>2940</v>
      </c>
    </row>
    <row r="23" spans="2:5" x14ac:dyDescent="0.25">
      <c r="B23" s="13" t="s">
        <v>314</v>
      </c>
      <c r="C23" s="14">
        <v>2940</v>
      </c>
    </row>
    <row r="28" spans="2:5" x14ac:dyDescent="0.25">
      <c r="B28" s="13" t="s">
        <v>321</v>
      </c>
    </row>
    <row r="30" spans="2:5" x14ac:dyDescent="0.25">
      <c r="B30" s="12" t="s">
        <v>16</v>
      </c>
      <c r="C30" t="s">
        <v>323</v>
      </c>
    </row>
    <row r="32" spans="2:5" x14ac:dyDescent="0.25">
      <c r="B32" s="12" t="s">
        <v>313</v>
      </c>
      <c r="C32" t="s">
        <v>322</v>
      </c>
    </row>
    <row r="33" spans="2:5" x14ac:dyDescent="0.25">
      <c r="B33" s="13" t="s">
        <v>22</v>
      </c>
      <c r="C33" s="14">
        <v>0</v>
      </c>
    </row>
    <row r="34" spans="2:5" x14ac:dyDescent="0.25">
      <c r="B34" s="13" t="s">
        <v>26</v>
      </c>
      <c r="C34" s="14">
        <v>1920</v>
      </c>
    </row>
    <row r="35" spans="2:5" x14ac:dyDescent="0.25">
      <c r="B35" s="13" t="s">
        <v>18</v>
      </c>
      <c r="C35" s="14">
        <v>1960</v>
      </c>
      <c r="E35" s="15">
        <f>GETPIVOTDATA("Minecraft Season Pass Price",$B$32)</f>
        <v>3880</v>
      </c>
    </row>
    <row r="36" spans="2:5" x14ac:dyDescent="0.25">
      <c r="B36" s="13" t="s">
        <v>314</v>
      </c>
      <c r="C36" s="14"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39"/>
  <sheetViews>
    <sheetView showGridLines="0" showRowColHeaders="0" tabSelected="1" zoomScale="145" zoomScaleNormal="145" workbookViewId="0">
      <selection activeCell="C5" sqref="C5"/>
    </sheetView>
  </sheetViews>
  <sheetFormatPr defaultColWidth="0" defaultRowHeight="15" zeroHeight="1" x14ac:dyDescent="0.25"/>
  <cols>
    <col min="1" max="1" width="27.85546875" style="5" customWidth="1"/>
    <col min="2" max="2" width="3.5703125" customWidth="1"/>
    <col min="3" max="11" width="9.140625" customWidth="1"/>
    <col min="12" max="12" width="6.5703125" customWidth="1"/>
    <col min="13" max="17" width="9.140625" customWidth="1"/>
    <col min="18" max="18" width="8" customWidth="1"/>
    <col min="19" max="19" width="3.28515625" customWidth="1"/>
    <col min="20" max="16384" width="9.140625" hidden="1"/>
  </cols>
  <sheetData>
    <row r="1" spans="1:18" x14ac:dyDescent="0.25"/>
    <row r="2" spans="1:18" ht="24.75" thickBot="1" x14ac:dyDescent="0.5">
      <c r="C2" s="18" t="s">
        <v>318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  <c r="R2" s="17"/>
    </row>
    <row r="3" spans="1:18" ht="15.75" thickTop="1" x14ac:dyDescent="0.25"/>
    <row r="4" spans="1:18" s="7" customFormat="1" x14ac:dyDescent="0.25">
      <c r="A4" s="5"/>
      <c r="C4" s="19" t="s">
        <v>324</v>
      </c>
    </row>
    <row r="5" spans="1:18" s="7" customFormat="1" x14ac:dyDescent="0.25">
      <c r="A5" s="5"/>
    </row>
    <row r="6" spans="1:18" s="7" customFormat="1" x14ac:dyDescent="0.25">
      <c r="A6" s="5"/>
    </row>
    <row r="7" spans="1:18" s="7" customFormat="1" x14ac:dyDescent="0.25">
      <c r="A7" s="5"/>
    </row>
    <row r="8" spans="1:18" s="7" customFormat="1" x14ac:dyDescent="0.25">
      <c r="A8" s="5"/>
    </row>
    <row r="9" spans="1:18" s="7" customFormat="1" x14ac:dyDescent="0.25">
      <c r="A9" s="5"/>
    </row>
    <row r="10" spans="1:18" s="7" customFormat="1" x14ac:dyDescent="0.25">
      <c r="A10" s="5"/>
    </row>
    <row r="11" spans="1:18" s="7" customFormat="1" x14ac:dyDescent="0.25">
      <c r="A11" s="5"/>
    </row>
    <row r="12" spans="1:18" s="7" customFormat="1" x14ac:dyDescent="0.25">
      <c r="A12" s="5"/>
    </row>
    <row r="13" spans="1:18" s="7" customFormat="1" x14ac:dyDescent="0.25">
      <c r="A13" s="5"/>
    </row>
    <row r="14" spans="1:18" s="7" customFormat="1" x14ac:dyDescent="0.25">
      <c r="A14" s="5"/>
    </row>
    <row r="15" spans="1:18" s="7" customFormat="1" x14ac:dyDescent="0.25">
      <c r="A15" s="5"/>
    </row>
    <row r="16" spans="1:18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5"/>
    </row>
    <row r="24" spans="1:1" s="7" customFormat="1" x14ac:dyDescent="0.25">
      <c r="A24" s="5"/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hidden="1" x14ac:dyDescent="0.25">
      <c r="A38" s="5"/>
    </row>
    <row r="39" spans="1:1" s="7" customFormat="1" hidden="1" x14ac:dyDescent="0.25">
      <c r="A39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Sidnei Moreira</cp:lastModifiedBy>
  <dcterms:created xsi:type="dcterms:W3CDTF">2024-12-19T13:13:10Z</dcterms:created>
  <dcterms:modified xsi:type="dcterms:W3CDTF">2026-01-20T15:31:20Z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