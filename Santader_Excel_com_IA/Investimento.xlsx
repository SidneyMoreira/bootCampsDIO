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DIO\ExcelIA\"/>
    </mc:Choice>
  </mc:AlternateContent>
  <xr:revisionPtr revIDLastSave="0" documentId="13_ncr:1_{B2BEB192-F5C3-4CF7-8054-0840851EF26C}" xr6:coauthVersionLast="47" xr6:coauthVersionMax="47" xr10:uidLastSave="{00000000-0000-0000-0000-000000000000}"/>
  <bookViews>
    <workbookView xWindow="28680" yWindow="-120" windowWidth="38640" windowHeight="16440" tabRatio="770" xr2:uid="{8BBDB334-8EC2-4F06-8013-F108463B2442}"/>
  </bookViews>
  <sheets>
    <sheet name="OnePage" sheetId="1" r:id="rId1"/>
    <sheet name="TabelaApoio" sheetId="2" state="hidden" r:id="rId2"/>
  </sheets>
  <definedNames>
    <definedName name="Aporte">OnePage!$D$9</definedName>
    <definedName name="dividendos">OnePage!$D$13</definedName>
    <definedName name="Patrimonio">OnePage!$D$12</definedName>
    <definedName name="qtd_anos">OnePage!$D$10</definedName>
    <definedName name="Rendimento_Carteira">OnePage!$D$5</definedName>
    <definedName name="Salrio">OnePage!$D$4</definedName>
    <definedName name="Sugestao_Investimento">OnePage!$D$6</definedName>
    <definedName name="taxa_mensal">OnePage!$D$11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26" i="1"/>
  <c r="J7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C23" i="1"/>
  <c r="D6" i="1"/>
  <c r="D12" i="1"/>
  <c r="D13" i="1" s="1"/>
  <c r="C17" i="1"/>
  <c r="D17" i="1" s="1"/>
  <c r="C18" i="1"/>
  <c r="D18" i="1" s="1"/>
  <c r="C19" i="1"/>
  <c r="D19" i="1" s="1"/>
  <c r="C20" i="1"/>
  <c r="D20" i="1" s="1"/>
  <c r="C16" i="1"/>
  <c r="D16" i="1" s="1"/>
  <c r="D27" i="1" l="1"/>
  <c r="D29" i="1"/>
  <c r="D28" i="1"/>
  <c r="D30" i="1"/>
  <c r="D31" i="1"/>
  <c r="D26" i="1"/>
  <c r="D32" i="1" l="1"/>
</calcChain>
</file>

<file path=xl/sharedStrings.xml><?xml version="1.0" encoding="utf-8"?>
<sst xmlns="http://schemas.openxmlformats.org/spreadsheetml/2006/main" count="72" uniqueCount="35">
  <si>
    <t>Kadar Invest</t>
  </si>
  <si>
    <t>Investimento Mensal</t>
  </si>
  <si>
    <t>Quanto investir por mês?</t>
  </si>
  <si>
    <t>Por quantos anos?</t>
  </si>
  <si>
    <t>Patrimônio acumulado?</t>
  </si>
  <si>
    <t>Taxa de rendimento mensal?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</si>
  <si>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</si>
  <si>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</si>
  <si>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</si>
  <si>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</si>
  <si>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</si>
  <si>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</si>
  <si>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</si>
  <si>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</si>
  <si>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</si>
  <si>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</si>
  <si>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Salario</t>
  </si>
  <si>
    <t>Perfil</t>
  </si>
  <si>
    <t>Agressivo</t>
  </si>
  <si>
    <t>Valor a ser investido por mês</t>
  </si>
  <si>
    <t>Tipo de FII</t>
  </si>
  <si>
    <t>% Sugerido</t>
  </si>
  <si>
    <t>Valores</t>
  </si>
  <si>
    <t>Papel</t>
  </si>
  <si>
    <t>Tijolo</t>
  </si>
  <si>
    <t>Hibridos</t>
  </si>
  <si>
    <t>FOF´s</t>
  </si>
  <si>
    <t>Desenvolvimento</t>
  </si>
  <si>
    <t>Hotelarias</t>
  </si>
  <si>
    <t>Conservador</t>
  </si>
  <si>
    <t>%</t>
  </si>
  <si>
    <t>Chave</t>
  </si>
  <si>
    <t>Moderado</t>
  </si>
  <si>
    <t>Moderado-Tijolo</t>
  </si>
  <si>
    <t>Sugestão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</si>
</sst>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Black"/>
      <family val="2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4.9989318521683403E-2"/>
      </bottom>
      <diagonal/>
    </border>
    <border>
      <left/>
      <right style="thin">
        <color theme="0" tint="-0.14996795556505021"/>
      </right>
      <top/>
      <bottom style="thin">
        <color theme="0" tint="-4.9989318521683403E-2"/>
      </bottom>
      <diagonal/>
    </border>
    <border>
      <left style="medium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0.149967955565050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/>
      <top style="thin">
        <color theme="0" tint="-4.9989318521683403E-2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7" borderId="0" applyNumberFormat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left" vertical="center"/>
    </xf>
    <xf numFmtId="0" fontId="7" fillId="6" borderId="18" xfId="0" applyFont="1" applyFill="1" applyBorder="1" applyAlignment="1">
      <alignment horizontal="left" vertical="center"/>
    </xf>
    <xf numFmtId="0" fontId="7" fillId="6" borderId="19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164" fontId="1" fillId="5" borderId="29" xfId="0" applyNumberFormat="1" applyFont="1" applyFill="1" applyBorder="1" applyAlignment="1">
      <alignment horizontal="right" vertical="center"/>
    </xf>
    <xf numFmtId="164" fontId="0" fillId="5" borderId="30" xfId="0" applyNumberFormat="1" applyFill="1" applyBorder="1"/>
    <xf numFmtId="164" fontId="1" fillId="5" borderId="9" xfId="0" applyNumberFormat="1" applyFont="1" applyFill="1" applyBorder="1" applyAlignment="1">
      <alignment horizontal="right" vertical="center"/>
    </xf>
    <xf numFmtId="164" fontId="0" fillId="5" borderId="10" xfId="0" applyNumberFormat="1" applyFill="1" applyBorder="1"/>
    <xf numFmtId="164" fontId="1" fillId="5" borderId="12" xfId="0" applyNumberFormat="1" applyFont="1" applyFill="1" applyBorder="1" applyAlignment="1">
      <alignment horizontal="right" vertical="center"/>
    </xf>
    <xf numFmtId="164" fontId="0" fillId="5" borderId="13" xfId="0" applyNumberFormat="1" applyFill="1" applyBorder="1"/>
    <xf numFmtId="0" fontId="8" fillId="5" borderId="28" xfId="0" applyFont="1" applyFill="1" applyBorder="1"/>
    <xf numFmtId="0" fontId="8" fillId="5" borderId="8" xfId="0" applyFont="1" applyFill="1" applyBorder="1"/>
    <xf numFmtId="0" fontId="8" fillId="5" borderId="11" xfId="0" applyFont="1" applyFill="1" applyBorder="1"/>
    <xf numFmtId="0" fontId="8" fillId="5" borderId="22" xfId="0" applyFont="1" applyFill="1" applyBorder="1" applyAlignment="1">
      <alignment horizontal="left"/>
    </xf>
    <xf numFmtId="0" fontId="8" fillId="5" borderId="23" xfId="0" applyFont="1" applyFill="1" applyBorder="1" applyAlignment="1">
      <alignment horizontal="left"/>
    </xf>
    <xf numFmtId="0" fontId="8" fillId="5" borderId="24" xfId="0" applyFont="1" applyFill="1" applyBorder="1" applyAlignment="1">
      <alignment horizontal="left"/>
    </xf>
    <xf numFmtId="0" fontId="8" fillId="5" borderId="25" xfId="0" applyFont="1" applyFill="1" applyBorder="1" applyAlignment="1">
      <alignment horizontal="left"/>
    </xf>
    <xf numFmtId="0" fontId="9" fillId="5" borderId="24" xfId="0" applyFont="1" applyFill="1" applyBorder="1" applyAlignment="1">
      <alignment horizontal="left"/>
    </xf>
    <xf numFmtId="0" fontId="9" fillId="5" borderId="25" xfId="0" applyFont="1" applyFill="1" applyBorder="1" applyAlignment="1">
      <alignment horizontal="left"/>
    </xf>
    <xf numFmtId="8" fontId="1" fillId="5" borderId="3" xfId="0" applyNumberFormat="1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left"/>
    </xf>
    <xf numFmtId="0" fontId="9" fillId="5" borderId="27" xfId="0" applyFont="1" applyFill="1" applyBorder="1" applyAlignment="1">
      <alignment horizontal="left"/>
    </xf>
    <xf numFmtId="8" fontId="1" fillId="5" borderId="4" xfId="0" applyNumberFormat="1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/>
    </xf>
    <xf numFmtId="0" fontId="8" fillId="5" borderId="15" xfId="0" applyFont="1" applyFill="1" applyBorder="1" applyAlignment="1">
      <alignment horizontal="left"/>
    </xf>
    <xf numFmtId="0" fontId="8" fillId="5" borderId="8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8" fillId="5" borderId="12" xfId="0" applyFont="1" applyFill="1" applyBorder="1" applyAlignment="1">
      <alignment horizontal="left"/>
    </xf>
    <xf numFmtId="164" fontId="0" fillId="5" borderId="0" xfId="0" applyNumberFormat="1" applyFill="1" applyBorder="1"/>
    <xf numFmtId="0" fontId="8" fillId="4" borderId="0" xfId="0" applyFont="1" applyFill="1" applyBorder="1"/>
    <xf numFmtId="164" fontId="1" fillId="4" borderId="0" xfId="0" applyNumberFormat="1" applyFont="1" applyFill="1" applyBorder="1" applyAlignment="1">
      <alignment horizontal="right" vertical="center"/>
    </xf>
    <xf numFmtId="164" fontId="0" fillId="4" borderId="0" xfId="0" applyNumberFormat="1" applyFill="1" applyBorder="1"/>
    <xf numFmtId="0" fontId="6" fillId="7" borderId="0" xfId="2" applyBorder="1"/>
    <xf numFmtId="164" fontId="6" fillId="7" borderId="0" xfId="2" applyNumberFormat="1" applyBorder="1" applyAlignment="1">
      <alignment horizontal="right" vertical="center"/>
    </xf>
    <xf numFmtId="164" fontId="6" fillId="7" borderId="0" xfId="2" applyNumberFormat="1" applyBorder="1"/>
    <xf numFmtId="0" fontId="10" fillId="3" borderId="7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9" fontId="1" fillId="4" borderId="0" xfId="0" applyNumberFormat="1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164" fontId="1" fillId="8" borderId="0" xfId="0" applyNumberFormat="1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9" fontId="1" fillId="8" borderId="0" xfId="0" applyNumberFormat="1" applyFont="1" applyFill="1" applyBorder="1" applyAlignment="1">
      <alignment horizontal="center" vertical="center"/>
    </xf>
    <xf numFmtId="164" fontId="1" fillId="8" borderId="0" xfId="0" applyNumberFormat="1" applyFont="1" applyFill="1" applyBorder="1"/>
    <xf numFmtId="9" fontId="0" fillId="0" borderId="0" xfId="1" applyFont="1"/>
    <xf numFmtId="0" fontId="0" fillId="0" borderId="31" xfId="0" applyBorder="1"/>
    <xf numFmtId="9" fontId="0" fillId="0" borderId="31" xfId="1" applyFont="1" applyBorder="1"/>
    <xf numFmtId="9" fontId="0" fillId="0" borderId="0" xfId="1" applyFont="1" applyFill="1" applyBorder="1"/>
    <xf numFmtId="0" fontId="6" fillId="7" borderId="0" xfId="2"/>
    <xf numFmtId="9" fontId="6" fillId="7" borderId="0" xfId="1" applyFont="1" applyFill="1"/>
    <xf numFmtId="9" fontId="0" fillId="0" borderId="31" xfId="1" applyFont="1" applyFill="1" applyBorder="1"/>
    <xf numFmtId="164" fontId="1" fillId="4" borderId="20" xfId="0" applyNumberFormat="1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10" fontId="1" fillId="4" borderId="3" xfId="0" applyNumberFormat="1" applyFont="1" applyFill="1" applyBorder="1" applyAlignment="1" applyProtection="1">
      <alignment horizontal="center" vertical="center"/>
      <protection locked="0"/>
    </xf>
    <xf numFmtId="164" fontId="0" fillId="4" borderId="16" xfId="0" applyNumberFormat="1" applyFill="1" applyBorder="1" applyProtection="1">
      <protection locked="0"/>
    </xf>
    <xf numFmtId="10" fontId="0" fillId="4" borderId="10" xfId="0" applyNumberFormat="1" applyFill="1" applyBorder="1" applyProtection="1">
      <protection locked="0"/>
    </xf>
    <xf numFmtId="9" fontId="0" fillId="5" borderId="0" xfId="0" applyNumberFormat="1" applyFont="1" applyFill="1" applyBorder="1" applyAlignment="1">
      <alignment horizontal="center" vertic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OnePage!$C$25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OnePage!$B$26:$B$31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FOF´s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OnePage!$C$26:$C$31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7-4284-98FD-BBD6B49D9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32</xdr:row>
      <xdr:rowOff>185737</xdr:rowOff>
    </xdr:from>
    <xdr:to>
      <xdr:col>4</xdr:col>
      <xdr:colOff>38100</xdr:colOff>
      <xdr:row>44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EFA9B8-0B25-36F8-E9E6-581EADE80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424C-03C5-4DB6-A909-2A1B89C31559}">
  <dimension ref="A1:H46"/>
  <sheetViews>
    <sheetView showGridLines="0" showRowColHeaders="0" tabSelected="1" topLeftCell="A2" zoomScale="90" zoomScaleNormal="90" workbookViewId="0">
      <selection activeCell="E34" sqref="E3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3" bestFit="1" customWidth="1"/>
    <col min="2" max="2" width="28" bestFit="1" customWidth="1"/>
    <col min="3" max="3" width="16.7109375" customWidth="1"/>
    <col min="4" max="4" width="16" customWidth="1"/>
    <col min="5" max="5" width="3.28515625" customWidth="1"/>
    <col min="6" max="6" width="9.140625" hidden="1"/>
    <col min="9" max="16384" width="9.140625" hidden="1"/>
  </cols>
  <sheetData>
    <row r="1" spans="1:5" ht="33.75" customHeight="1" x14ac:dyDescent="0.25">
      <c r="A1" s="4" t="s">
        <v>0</v>
      </c>
      <c r="B1" s="4"/>
      <c r="C1" s="4"/>
      <c r="D1" s="4"/>
      <c r="E1" s="4"/>
    </row>
    <row r="2" spans="1:5" ht="9.75" customHeight="1" thickBot="1" x14ac:dyDescent="0.3"/>
    <row r="3" spans="1:5" ht="24" x14ac:dyDescent="0.25">
      <c r="B3" s="7" t="s">
        <v>14</v>
      </c>
      <c r="C3" s="8"/>
      <c r="D3" s="9"/>
    </row>
    <row r="4" spans="1:5" ht="15.75" x14ac:dyDescent="0.25">
      <c r="B4" s="30" t="s">
        <v>16</v>
      </c>
      <c r="C4" s="31"/>
      <c r="D4" s="61">
        <v>4200</v>
      </c>
    </row>
    <row r="5" spans="1:5" ht="15.75" x14ac:dyDescent="0.25">
      <c r="B5" s="32" t="s">
        <v>15</v>
      </c>
      <c r="C5" s="33"/>
      <c r="D5" s="62">
        <v>6.0000000000000001E-3</v>
      </c>
    </row>
    <row r="6" spans="1:5" ht="16.5" thickBot="1" x14ac:dyDescent="0.3">
      <c r="B6" s="34" t="s">
        <v>34</v>
      </c>
      <c r="C6" s="35"/>
      <c r="D6" s="16">
        <f>Salrio*30%</f>
        <v>1260</v>
      </c>
    </row>
    <row r="7" spans="1:5" ht="11.25" customHeight="1" thickBot="1" x14ac:dyDescent="0.3"/>
    <row r="8" spans="1:5" ht="26.25" x14ac:dyDescent="0.25">
      <c r="B8" s="2" t="s">
        <v>1</v>
      </c>
      <c r="C8" s="10"/>
      <c r="D8" s="3"/>
    </row>
    <row r="9" spans="1:5" ht="15.75" x14ac:dyDescent="0.25">
      <c r="B9" s="20" t="s">
        <v>2</v>
      </c>
      <c r="C9" s="21"/>
      <c r="D9" s="58">
        <v>200</v>
      </c>
    </row>
    <row r="10" spans="1:5" ht="15.75" x14ac:dyDescent="0.25">
      <c r="B10" s="22" t="s">
        <v>3</v>
      </c>
      <c r="C10" s="23"/>
      <c r="D10" s="59">
        <v>6</v>
      </c>
    </row>
    <row r="11" spans="1:5" ht="15.75" x14ac:dyDescent="0.25">
      <c r="B11" s="22" t="s">
        <v>5</v>
      </c>
      <c r="C11" s="23"/>
      <c r="D11" s="60">
        <v>1.0789999999999999E-2</v>
      </c>
    </row>
    <row r="12" spans="1:5" ht="15.75" x14ac:dyDescent="0.25">
      <c r="B12" s="24" t="s">
        <v>4</v>
      </c>
      <c r="C12" s="25"/>
      <c r="D12" s="26">
        <f>FV(taxa_mensal,qtd_anos*12,Aporte*-1)</f>
        <v>21606.040198319984</v>
      </c>
    </row>
    <row r="13" spans="1:5" ht="16.5" thickBot="1" x14ac:dyDescent="0.3">
      <c r="B13" s="27" t="s">
        <v>6</v>
      </c>
      <c r="C13" s="28"/>
      <c r="D13" s="29">
        <f>Patrimonio*Rendimento_Carteira</f>
        <v>129.6362411899199</v>
      </c>
    </row>
    <row r="14" spans="1:5" ht="9" customHeight="1" thickBot="1" x14ac:dyDescent="0.3"/>
    <row r="15" spans="1:5" ht="27" thickBot="1" x14ac:dyDescent="0.3">
      <c r="B15" s="5" t="s">
        <v>12</v>
      </c>
      <c r="C15" s="6"/>
      <c r="D15" s="43" t="s">
        <v>13</v>
      </c>
    </row>
    <row r="16" spans="1:5" ht="15.75" x14ac:dyDescent="0.25">
      <c r="A16" s="1">
        <v>2</v>
      </c>
      <c r="B16" s="17" t="s">
        <v>7</v>
      </c>
      <c r="C16" s="11">
        <f>FV($D$11,$A16*12,$D$9*-1)</f>
        <v>5445.5254595290435</v>
      </c>
      <c r="D16" s="12">
        <f>C16*Rendimento_Carteira</f>
        <v>32.673152757174265</v>
      </c>
    </row>
    <row r="17" spans="1:4" ht="15.75" x14ac:dyDescent="0.25">
      <c r="A17" s="1">
        <v>5</v>
      </c>
      <c r="B17" s="18" t="s">
        <v>8</v>
      </c>
      <c r="C17" s="13">
        <f>FV($D$11,$A17*12,$D$9*-1)</f>
        <v>16755.382799697527</v>
      </c>
      <c r="D17" s="14">
        <f>C17*Rendimento_Carteira</f>
        <v>100.53229679818516</v>
      </c>
    </row>
    <row r="18" spans="1:4" ht="15.75" x14ac:dyDescent="0.25">
      <c r="A18" s="1">
        <v>10</v>
      </c>
      <c r="B18" s="18" t="s">
        <v>9</v>
      </c>
      <c r="C18" s="13">
        <f>FV($D$11,$A18*12,$D$9*-1)</f>
        <v>48656.842506034438</v>
      </c>
      <c r="D18" s="14">
        <f>C18*Rendimento_Carteira</f>
        <v>291.94105503620665</v>
      </c>
    </row>
    <row r="19" spans="1:4" ht="15.75" x14ac:dyDescent="0.25">
      <c r="A19" s="1">
        <v>20</v>
      </c>
      <c r="B19" s="18" t="s">
        <v>10</v>
      </c>
      <c r="C19" s="13">
        <f>FV($D$11,$A19*12,$D$9*-1)</f>
        <v>225039.68001941612</v>
      </c>
      <c r="D19" s="14">
        <f>C19*$D$5</f>
        <v>1350.2380801164968</v>
      </c>
    </row>
    <row r="20" spans="1:4" ht="16.5" thickBot="1" x14ac:dyDescent="0.3">
      <c r="A20" s="1">
        <v>30</v>
      </c>
      <c r="B20" s="19" t="s">
        <v>11</v>
      </c>
      <c r="C20" s="15">
        <f>FV($D$11,$A20*12,$D$9*-1)</f>
        <v>864433.93100094295</v>
      </c>
      <c r="D20" s="16">
        <f>C20*$D$5</f>
        <v>5186.6035860056581</v>
      </c>
    </row>
    <row r="21" spans="1:4" ht="9.75" customHeight="1" x14ac:dyDescent="0.25">
      <c r="A21" s="1"/>
      <c r="B21" s="37"/>
      <c r="C21" s="38"/>
      <c r="D21" s="39"/>
    </row>
    <row r="22" spans="1:4" x14ac:dyDescent="0.25">
      <c r="A22" s="1"/>
      <c r="B22" s="40" t="s">
        <v>17</v>
      </c>
      <c r="C22" s="41" t="s">
        <v>32</v>
      </c>
      <c r="D22" s="42"/>
    </row>
    <row r="23" spans="1:4" ht="15.75" x14ac:dyDescent="0.25">
      <c r="A23" s="1"/>
      <c r="B23" s="37" t="s">
        <v>19</v>
      </c>
      <c r="C23" s="38">
        <f>Aporte</f>
        <v>200</v>
      </c>
      <c r="D23" s="39"/>
    </row>
    <row r="24" spans="1:4" ht="15.75" x14ac:dyDescent="0.25">
      <c r="A24" s="1"/>
      <c r="B24" s="37"/>
      <c r="C24" s="38"/>
      <c r="D24" s="39"/>
    </row>
    <row r="25" spans="1:4" ht="15.75" x14ac:dyDescent="0.25">
      <c r="A25" s="1"/>
      <c r="B25" s="46" t="s">
        <v>20</v>
      </c>
      <c r="C25" s="47" t="s">
        <v>21</v>
      </c>
      <c r="D25" s="47" t="s">
        <v>22</v>
      </c>
    </row>
    <row r="26" spans="1:4" ht="15.75" x14ac:dyDescent="0.25">
      <c r="A26" s="1"/>
      <c r="B26" s="44" t="s">
        <v>23</v>
      </c>
      <c r="C26" s="63">
        <f>VLOOKUP($C$22&amp;"-"&amp;B26,TabelaApoio!$A$2:$D$20,4,FALSE)</f>
        <v>0.32</v>
      </c>
      <c r="D26" s="36">
        <f>$C$23*C26</f>
        <v>64</v>
      </c>
    </row>
    <row r="27" spans="1:4" ht="15.75" x14ac:dyDescent="0.25">
      <c r="A27" s="1"/>
      <c r="B27" s="44" t="s">
        <v>24</v>
      </c>
      <c r="C27" s="63">
        <f>VLOOKUP($C$22&amp;"-"&amp;B27,TabelaApoio!$A$2:$D$20,4,FALSE)</f>
        <v>0.35</v>
      </c>
      <c r="D27" s="36">
        <f t="shared" ref="D27:D30" si="0">$C$23*C27</f>
        <v>70</v>
      </c>
    </row>
    <row r="28" spans="1:4" ht="15.75" x14ac:dyDescent="0.25">
      <c r="A28" s="1"/>
      <c r="B28" s="44" t="s">
        <v>25</v>
      </c>
      <c r="C28" s="63">
        <f>VLOOKUP($C$22&amp;"-"&amp;B28,TabelaApoio!$A$2:$D$20,4,FALSE)</f>
        <v>0.08</v>
      </c>
      <c r="D28" s="36">
        <f t="shared" si="0"/>
        <v>16</v>
      </c>
    </row>
    <row r="29" spans="1:4" ht="15.75" x14ac:dyDescent="0.25">
      <c r="A29" s="1"/>
      <c r="B29" s="44" t="s">
        <v>26</v>
      </c>
      <c r="C29" s="63">
        <f>VLOOKUP($C$22&amp;"-"&amp;B29,TabelaApoio!$A$2:$D$20,4,FALSE)</f>
        <v>0.05</v>
      </c>
      <c r="D29" s="36">
        <f t="shared" si="0"/>
        <v>10</v>
      </c>
    </row>
    <row r="30" spans="1:4" ht="15.75" x14ac:dyDescent="0.25">
      <c r="A30" s="1"/>
      <c r="B30" s="44" t="s">
        <v>27</v>
      </c>
      <c r="C30" s="63">
        <f>VLOOKUP($C$22&amp;"-"&amp;B30,TabelaApoio!$A$2:$D$20,4,FALSE)</f>
        <v>0.1</v>
      </c>
      <c r="D30" s="36">
        <f t="shared" si="0"/>
        <v>20</v>
      </c>
    </row>
    <row r="31" spans="1:4" ht="15.75" x14ac:dyDescent="0.25">
      <c r="A31" s="1"/>
      <c r="B31" s="44" t="s">
        <v>28</v>
      </c>
      <c r="C31" s="63">
        <f>VLOOKUP($C$22&amp;"-"&amp;B31,TabelaApoio!$A$2:$D$20,4,FALSE)</f>
        <v>0.1</v>
      </c>
      <c r="D31" s="36">
        <f>$C$23*C31</f>
        <v>20</v>
      </c>
    </row>
    <row r="32" spans="1:4" ht="15.75" x14ac:dyDescent="0.25">
      <c r="A32" s="1"/>
      <c r="B32" s="48"/>
      <c r="C32" s="49"/>
      <c r="D32" s="50">
        <f>SUM(D26:D31)</f>
        <v>200</v>
      </c>
    </row>
    <row r="33" spans="1:4" ht="7.5" customHeight="1" x14ac:dyDescent="0.25">
      <c r="A33" s="1"/>
      <c r="B33" s="44"/>
      <c r="C33" s="45"/>
      <c r="D33" s="39"/>
    </row>
    <row r="34" spans="1:4" ht="15.75" x14ac:dyDescent="0.25">
      <c r="A34" s="1"/>
      <c r="B34" s="44"/>
      <c r="C34" s="45"/>
      <c r="D34" s="39"/>
    </row>
    <row r="35" spans="1:4" ht="15.75" x14ac:dyDescent="0.25">
      <c r="A35" s="1"/>
      <c r="B35" s="44"/>
      <c r="C35" s="45"/>
      <c r="D35" s="39"/>
    </row>
    <row r="36" spans="1:4" ht="15.75" x14ac:dyDescent="0.25">
      <c r="A36" s="1"/>
      <c r="B36" s="44"/>
      <c r="C36" s="45"/>
      <c r="D36" s="39"/>
    </row>
    <row r="37" spans="1:4" ht="15.75" x14ac:dyDescent="0.25">
      <c r="A37" s="1"/>
      <c r="B37" s="44"/>
      <c r="C37" s="45"/>
      <c r="D37" s="39"/>
    </row>
    <row r="38" spans="1:4" ht="15.75" x14ac:dyDescent="0.25">
      <c r="A38" s="1"/>
      <c r="B38" s="44"/>
      <c r="C38" s="45"/>
      <c r="D38" s="39"/>
    </row>
    <row r="39" spans="1:4" ht="15.75" x14ac:dyDescent="0.25">
      <c r="A39" s="1"/>
      <c r="B39" s="44"/>
      <c r="C39" s="45"/>
      <c r="D39" s="39"/>
    </row>
    <row r="40" spans="1:4" ht="15.75" x14ac:dyDescent="0.25">
      <c r="A40" s="1"/>
      <c r="B40" s="44"/>
      <c r="C40" s="45"/>
      <c r="D40" s="39"/>
    </row>
    <row r="41" spans="1:4" ht="15.75" x14ac:dyDescent="0.25">
      <c r="A41" s="1"/>
      <c r="B41" s="44"/>
      <c r="C41" s="45"/>
      <c r="D41" s="39"/>
    </row>
    <row r="42" spans="1:4" ht="15.75" x14ac:dyDescent="0.25">
      <c r="A42" s="1"/>
      <c r="B42" s="44"/>
      <c r="C42" s="45"/>
      <c r="D42" s="39"/>
    </row>
    <row r="43" spans="1:4" ht="15.75" x14ac:dyDescent="0.25">
      <c r="A43" s="1"/>
      <c r="B43" s="44"/>
      <c r="C43" s="45"/>
      <c r="D43" s="39"/>
    </row>
    <row r="44" spans="1:4" ht="15.75" x14ac:dyDescent="0.25">
      <c r="A44" s="1"/>
      <c r="B44" s="44"/>
      <c r="C44" s="45"/>
      <c r="D44" s="39"/>
    </row>
    <row r="45" spans="1:4" ht="15.75" x14ac:dyDescent="0.25">
      <c r="A45" s="1"/>
      <c r="B45" s="44"/>
      <c r="C45" s="45"/>
      <c r="D45" s="39"/>
    </row>
    <row r="46" spans="1:4" ht="15.75" hidden="1" x14ac:dyDescent="0.25">
      <c r="A46" s="1"/>
      <c r="B46" s="44"/>
      <c r="C46" s="45"/>
      <c r="D46" s="39"/>
    </row>
  </sheetData>
  <sheetProtection sheet="1" objects="1" scenarios="1"/>
  <mergeCells count="12">
    <mergeCell ref="A1:E1"/>
    <mergeCell ref="B15:C15"/>
    <mergeCell ref="B3:D3"/>
    <mergeCell ref="B6:C6"/>
    <mergeCell ref="B5:C5"/>
    <mergeCell ref="B4:C4"/>
    <mergeCell ref="B8:D8"/>
    <mergeCell ref="B12:C12"/>
    <mergeCell ref="B13:C13"/>
    <mergeCell ref="B11:C11"/>
    <mergeCell ref="B10:C10"/>
    <mergeCell ref="B9:C9"/>
  </mergeCells>
  <dataValidations count="1">
    <dataValidation type="list" allowBlank="1" showInputMessage="1" showErrorMessage="1" sqref="C22" xr:uid="{F8C8806A-CB96-405C-BB59-9A8496FF7A7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D002-F449-411D-BAB5-C15A8AC39A13}">
  <dimension ref="A2:J20"/>
  <sheetViews>
    <sheetView workbookViewId="0">
      <selection activeCell="F16" sqref="F16"/>
    </sheetView>
  </sheetViews>
  <sheetFormatPr defaultRowHeight="15" x14ac:dyDescent="0.25"/>
  <cols>
    <col min="1" max="1" width="28.42578125" bestFit="1" customWidth="1"/>
    <col min="2" max="2" width="12.140625" bestFit="1" customWidth="1"/>
    <col min="3" max="3" width="17.42578125" bestFit="1" customWidth="1"/>
    <col min="9" max="9" width="15.85546875" bestFit="1" customWidth="1"/>
  </cols>
  <sheetData>
    <row r="2" spans="1:10" x14ac:dyDescent="0.25">
      <c r="A2" t="s">
        <v>31</v>
      </c>
      <c r="B2" t="s">
        <v>17</v>
      </c>
      <c r="C2" t="s">
        <v>20</v>
      </c>
      <c r="D2" t="s">
        <v>30</v>
      </c>
    </row>
    <row r="3" spans="1:10" x14ac:dyDescent="0.25">
      <c r="A3" t="str">
        <f>B3&amp;"-"&amp;C3</f>
        <v>Conservador-Papel</v>
      </c>
      <c r="B3" t="s">
        <v>29</v>
      </c>
      <c r="C3" t="s">
        <v>23</v>
      </c>
      <c r="D3" s="51">
        <v>0.3</v>
      </c>
    </row>
    <row r="4" spans="1:10" x14ac:dyDescent="0.25">
      <c r="A4" t="str">
        <f t="shared" ref="A4:A20" si="0">B4&amp;"-"&amp;C4</f>
        <v>Conservador-Tijolo</v>
      </c>
      <c r="B4" t="s">
        <v>29</v>
      </c>
      <c r="C4" t="s">
        <v>24</v>
      </c>
      <c r="D4" s="51">
        <v>0.5</v>
      </c>
    </row>
    <row r="5" spans="1:10" x14ac:dyDescent="0.25">
      <c r="A5" t="str">
        <f t="shared" si="0"/>
        <v>Conservador-Hibridos</v>
      </c>
      <c r="B5" t="s">
        <v>29</v>
      </c>
      <c r="C5" t="s">
        <v>25</v>
      </c>
      <c r="D5" s="51">
        <v>0.1</v>
      </c>
    </row>
    <row r="6" spans="1:10" x14ac:dyDescent="0.25">
      <c r="A6" t="str">
        <f t="shared" si="0"/>
        <v>Conservador-FOF´s</v>
      </c>
      <c r="B6" t="s">
        <v>29</v>
      </c>
      <c r="C6" t="s">
        <v>26</v>
      </c>
      <c r="D6" s="51">
        <v>0.1</v>
      </c>
      <c r="J6" t="s">
        <v>30</v>
      </c>
    </row>
    <row r="7" spans="1:10" x14ac:dyDescent="0.25">
      <c r="A7" t="str">
        <f t="shared" si="0"/>
        <v>Conservador-Desenvolvimento</v>
      </c>
      <c r="B7" t="s">
        <v>29</v>
      </c>
      <c r="C7" t="s">
        <v>27</v>
      </c>
      <c r="D7" s="51">
        <v>0</v>
      </c>
      <c r="I7" s="55" t="s">
        <v>33</v>
      </c>
      <c r="J7" s="56">
        <f>VLOOKUP(I7,$A$2:$D$20,4,FALSE)</f>
        <v>0.35</v>
      </c>
    </row>
    <row r="8" spans="1:10" ht="15.75" thickBot="1" x14ac:dyDescent="0.3">
      <c r="A8" s="52" t="str">
        <f t="shared" si="0"/>
        <v>Conservador-Hotelarias</v>
      </c>
      <c r="B8" s="52" t="s">
        <v>29</v>
      </c>
      <c r="C8" s="52" t="s">
        <v>28</v>
      </c>
      <c r="D8" s="53">
        <v>0</v>
      </c>
    </row>
    <row r="9" spans="1:10" x14ac:dyDescent="0.25">
      <c r="A9" t="str">
        <f t="shared" si="0"/>
        <v>Moderado-Papel</v>
      </c>
      <c r="B9" t="s">
        <v>32</v>
      </c>
      <c r="C9" t="s">
        <v>23</v>
      </c>
      <c r="D9" s="54">
        <v>0.32</v>
      </c>
    </row>
    <row r="10" spans="1:10" x14ac:dyDescent="0.25">
      <c r="A10" t="str">
        <f t="shared" si="0"/>
        <v>Moderado-Tijolo</v>
      </c>
      <c r="B10" t="s">
        <v>32</v>
      </c>
      <c r="C10" t="s">
        <v>24</v>
      </c>
      <c r="D10" s="54">
        <v>0.35</v>
      </c>
    </row>
    <row r="11" spans="1:10" x14ac:dyDescent="0.25">
      <c r="A11" t="str">
        <f t="shared" si="0"/>
        <v>Moderado-Hibridos</v>
      </c>
      <c r="B11" t="s">
        <v>32</v>
      </c>
      <c r="C11" t="s">
        <v>25</v>
      </c>
      <c r="D11" s="54">
        <v>0.08</v>
      </c>
    </row>
    <row r="12" spans="1:10" x14ac:dyDescent="0.25">
      <c r="A12" t="str">
        <f t="shared" si="0"/>
        <v>Moderado-FOF´s</v>
      </c>
      <c r="B12" t="s">
        <v>32</v>
      </c>
      <c r="C12" t="s">
        <v>26</v>
      </c>
      <c r="D12" s="54">
        <v>0.05</v>
      </c>
    </row>
    <row r="13" spans="1:10" x14ac:dyDescent="0.25">
      <c r="A13" t="str">
        <f t="shared" si="0"/>
        <v>Moderado-Desenvolvimento</v>
      </c>
      <c r="B13" t="s">
        <v>32</v>
      </c>
      <c r="C13" t="s">
        <v>27</v>
      </c>
      <c r="D13" s="54">
        <v>0.1</v>
      </c>
    </row>
    <row r="14" spans="1:10" ht="15.75" thickBot="1" x14ac:dyDescent="0.3">
      <c r="A14" s="52" t="str">
        <f t="shared" si="0"/>
        <v>Moderado-Hotelarias</v>
      </c>
      <c r="B14" s="52" t="s">
        <v>32</v>
      </c>
      <c r="C14" s="52" t="s">
        <v>28</v>
      </c>
      <c r="D14" s="57">
        <v>0.1</v>
      </c>
    </row>
    <row r="15" spans="1:10" x14ac:dyDescent="0.25">
      <c r="A15" t="str">
        <f t="shared" si="0"/>
        <v>Agressivo-Papel</v>
      </c>
      <c r="B15" t="s">
        <v>18</v>
      </c>
      <c r="C15" t="s">
        <v>23</v>
      </c>
      <c r="D15" s="54">
        <v>0.5</v>
      </c>
    </row>
    <row r="16" spans="1:10" x14ac:dyDescent="0.25">
      <c r="A16" t="str">
        <f t="shared" si="0"/>
        <v>Agressivo-Tijolo</v>
      </c>
      <c r="B16" t="s">
        <v>18</v>
      </c>
      <c r="C16" t="s">
        <v>24</v>
      </c>
      <c r="D16" s="54">
        <v>0.1</v>
      </c>
    </row>
    <row r="17" spans="1:4" x14ac:dyDescent="0.25">
      <c r="A17" t="str">
        <f t="shared" si="0"/>
        <v>Agressivo-Hibridos</v>
      </c>
      <c r="B17" t="s">
        <v>18</v>
      </c>
      <c r="C17" t="s">
        <v>25</v>
      </c>
      <c r="D17" s="54">
        <v>0.05</v>
      </c>
    </row>
    <row r="18" spans="1:4" x14ac:dyDescent="0.25">
      <c r="A18" t="str">
        <f t="shared" si="0"/>
        <v>Agressivo-FOF´s</v>
      </c>
      <c r="B18" t="s">
        <v>18</v>
      </c>
      <c r="C18" t="s">
        <v>26</v>
      </c>
      <c r="D18" s="54">
        <v>0.05</v>
      </c>
    </row>
    <row r="19" spans="1:4" x14ac:dyDescent="0.25">
      <c r="A19" t="str">
        <f t="shared" si="0"/>
        <v>Agressivo-Desenvolvimento</v>
      </c>
      <c r="B19" t="s">
        <v>18</v>
      </c>
      <c r="C19" t="s">
        <v>27</v>
      </c>
      <c r="D19" s="54">
        <v>0.2</v>
      </c>
    </row>
    <row r="20" spans="1:4" x14ac:dyDescent="0.25">
      <c r="A20" t="str">
        <f t="shared" si="0"/>
        <v>Agressivo-Hotelarias</v>
      </c>
      <c r="B20" t="s">
        <v>18</v>
      </c>
      <c r="C20" t="s">
        <v>28</v>
      </c>
      <c r="D20" s="5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OnePage</vt:lpstr>
      <vt:lpstr>TabelaApoio</vt:lpstr>
      <vt:lpstr>Aporte</vt:lpstr>
      <vt:lpstr>dividendos</vt:lpstr>
      <vt:lpstr>Patrimonio</vt:lpstr>
      <vt:lpstr>qtd_anos</vt:lpstr>
      <vt:lpstr>Rendimento_Carteira</vt:lpstr>
      <vt:lpstr>Salrio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Moreira</dc:creator>
  <cp:lastModifiedBy>Sidnei Moreira</cp:lastModifiedBy>
  <dcterms:created xsi:type="dcterms:W3CDTF">2026-01-05T13:44:17Z</dcterms:created>
  <dcterms:modified xsi:type="dcterms:W3CDTF">2026-01-05T16:11:31Z</dcterms:modified>
</cp:coreProperties>
</file>